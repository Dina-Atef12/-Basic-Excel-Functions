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GYAL\Downloads\"/>
    </mc:Choice>
  </mc:AlternateContent>
  <xr:revisionPtr revIDLastSave="0" documentId="13_ncr:1_{CA6B3B86-864B-4795-8B51-935AFD544F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1" sheetId="1" r:id="rId1"/>
    <sheet name="Q2" sheetId="2" r:id="rId2"/>
  </sheets>
  <definedNames>
    <definedName name="_xlnm._FilterDatabase" localSheetId="0" hidden="1">'Q1'!$A$1:$G$51</definedName>
    <definedName name="_xlnm._FilterDatabase" localSheetId="1" hidden="1">'Q2'!$A$1:$G$51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<sst xmlns="http://schemas.openxmlformats.org/spreadsheetml/2006/main" count="431" uniqueCount="87">
  <si>
    <t>OrderID</t>
  </si>
  <si>
    <t>Furniture</t>
  </si>
  <si>
    <t>Quantity</t>
  </si>
  <si>
    <t>UnitPrice</t>
  </si>
  <si>
    <t>Region</t>
  </si>
  <si>
    <t>Salesperson</t>
  </si>
  <si>
    <t>TotalSales</t>
  </si>
  <si>
    <t>O1000</t>
  </si>
  <si>
    <t>Bookshelf</t>
  </si>
  <si>
    <t>East</t>
  </si>
  <si>
    <t>Bob</t>
  </si>
  <si>
    <t>O1001</t>
  </si>
  <si>
    <t>Desk</t>
  </si>
  <si>
    <t>Diana</t>
  </si>
  <si>
    <t>O1002</t>
  </si>
  <si>
    <t>Bed</t>
  </si>
  <si>
    <t>South</t>
  </si>
  <si>
    <t>O1003</t>
  </si>
  <si>
    <t>West</t>
  </si>
  <si>
    <t>Alice</t>
  </si>
  <si>
    <t>O1004</t>
  </si>
  <si>
    <t>Wardrobe</t>
  </si>
  <si>
    <t>O1005</t>
  </si>
  <si>
    <t>Sofa</t>
  </si>
  <si>
    <t>North</t>
  </si>
  <si>
    <t>O1006</t>
  </si>
  <si>
    <t>Cabinet</t>
  </si>
  <si>
    <t>George</t>
  </si>
  <si>
    <t>O1007</t>
  </si>
  <si>
    <t>Fiona</t>
  </si>
  <si>
    <t>O1008</t>
  </si>
  <si>
    <t>Table</t>
  </si>
  <si>
    <t>Hannah</t>
  </si>
  <si>
    <t>O1009</t>
  </si>
  <si>
    <t>Ethan</t>
  </si>
  <si>
    <t>O1010</t>
  </si>
  <si>
    <t>O1011</t>
  </si>
  <si>
    <t>O1012</t>
  </si>
  <si>
    <t>O1013</t>
  </si>
  <si>
    <t>O1014</t>
  </si>
  <si>
    <t>O1015</t>
  </si>
  <si>
    <t>Chair</t>
  </si>
  <si>
    <t>Charlie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</si>
  <si>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</si>
  <si>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</si>
  <si>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</si>
  <si>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</si>
  <si>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</si>
  <si>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</si>
  <si>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</si>
  <si>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</si>
  <si>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</si>
  <si>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</si>
  <si>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</si>
  <si>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</si>
  <si>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</si>
  <si>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</si>
  <si>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</si>
  <si>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</si>
  <si>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</si>
  <si>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</si>
  <si>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</si>
  <si>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</si>
  <si>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</si>
  <si>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</si>
  <si>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</si>
  <si>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</si>
  <si>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</si>
  <si>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</si>
  <si>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</si>
  <si>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</si>
  <si>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</si>
  <si>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</si>
  <si>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</si>
  <si>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</si>
  <si>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</si>
  <si>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</si>
  <si>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 SUM of TotalSales</t>
  </si>
  <si>
    <t>MAX of TotalSales</t>
  </si>
  <si>
    <t>MIN of TotalSales</t>
  </si>
  <si>
    <t>AVERAGE of TotalSales</t>
  </si>
  <si>
    <t>COUNT of OrderID</t>
  </si>
  <si>
    <t>COUNTA of Salesperson</t>
  </si>
  <si>
    <t>COUNTBLANK of Region</t>
  </si>
  <si>
    <t>Apply a Filter to the data to display only sales for a specific type of furniture (e.g.,</t>
  </si>
  <si>
    <t>Sofa).</t>
  </si>
  <si>
    <r>
      <t xml:space="preserve"> </t>
    </r>
    <r>
      <rPr>
        <sz val="11"/>
        <color rgb="FFFF0000"/>
        <rFont val="Calibri"/>
        <family val="2"/>
        <scheme val="minor"/>
      </rPr>
      <t xml:space="preserve"> COUNT returns 0 because OrderID is stored as text So I used COUNTA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</si>
</sst>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8">
    <xf numFmtId="0" fontId="0" fillId="0" borderId="0" xfId="0" applyFont="1" applyAlignment="1"/>
    <xf numFmtId="0" fontId="2" fillId="0" borderId="0" xfId="0" applyFont="1"/>
    <xf numFmtId="0" fontId="5" fillId="0" borderId="0" xfId="0" applyFont="1" applyAlignment="1"/>
    <xf numFmtId="0" fontId="3" fillId="2" borderId="0" xfId="1" applyAlignment="1">
      <alignment horizontal="center" vertical="top"/>
    </xf>
    <xf numFmtId="2" fontId="3" fillId="2" borderId="0" xfId="1" applyNumberFormat="1" applyAlignment="1">
      <alignment horizontal="center" vertical="top"/>
    </xf>
    <xf numFmtId="0" fontId="1" fillId="0" borderId="0" xfId="0" applyFont="1" applyAlignment="1"/>
    <xf numFmtId="0" fontId="6" fillId="0" borderId="0" xfId="0" applyFont="1" applyAlignment="1"/>
    <xf numFmtId="0" fontId="4" fillId="0" borderId="0" xfId="0" applyFont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F1" zoomScale="112" workbookViewId="0">
      <selection activeCell="O19" sqref="O19"/>
    </sheetView>
  </sheetViews>
  <sheetFormatPr defaultColWidth="14.44140625" defaultRowHeight="15" customHeight="1" x14ac:dyDescent="0.3"/>
  <cols>
    <col min="1" max="1" width="7.6640625" customWidth="1"/>
    <col min="2" max="5" width="8.6640625" customWidth="1"/>
    <col min="6" max="6" width="11" bestFit="1" customWidth="1"/>
    <col min="7" max="7" width="9.44140625" bestFit="1" customWidth="1"/>
    <col min="8" max="12" width="8.6640625" customWidth="1"/>
    <col min="13" max="13" width="25.109375" bestFit="1" customWidth="1"/>
    <col min="14" max="14" width="8.6640625" customWidth="1"/>
    <col min="15" max="15" width="61.33203125" bestFit="1" customWidth="1"/>
    <col min="16" max="26" width="8.6640625" customWidth="1"/>
  </cols>
  <sheetData>
    <row r="1" spans="1:15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 ht="14.4" x14ac:dyDescent="0.3">
      <c r="A2" s="1" t="s">
        <v>7</v>
      </c>
      <c r="B2" s="1" t="s">
        <v>8</v>
      </c>
      <c r="C2" s="1">
        <v>3</v>
      </c>
      <c r="D2" s="1">
        <v>86</v>
      </c>
      <c r="E2" s="1" t="s">
        <v>9</v>
      </c>
      <c r="F2" s="1" t="s">
        <v>10</v>
      </c>
      <c r="G2" s="1">
        <v>258</v>
      </c>
    </row>
    <row r="3" spans="1:15" ht="14.4" x14ac:dyDescent="0.3">
      <c r="A3" s="1" t="s">
        <v>11</v>
      </c>
      <c r="B3" s="1" t="s">
        <v>12</v>
      </c>
      <c r="C3" s="1">
        <v>1</v>
      </c>
      <c r="D3" s="1">
        <v>269</v>
      </c>
      <c r="E3" s="1" t="s">
        <v>9</v>
      </c>
      <c r="F3" s="1" t="s">
        <v>13</v>
      </c>
      <c r="G3" s="1">
        <v>269</v>
      </c>
    </row>
    <row r="4" spans="1:15" ht="14.4" x14ac:dyDescent="0.3">
      <c r="A4" s="1" t="s">
        <v>14</v>
      </c>
      <c r="B4" s="1" t="s">
        <v>15</v>
      </c>
      <c r="C4" s="1">
        <v>1</v>
      </c>
      <c r="D4" s="1">
        <v>448</v>
      </c>
      <c r="E4" s="1" t="s">
        <v>16</v>
      </c>
      <c r="F4" s="1" t="s">
        <v>13</v>
      </c>
      <c r="G4" s="1">
        <v>448</v>
      </c>
    </row>
    <row r="5" spans="1:15" ht="14.4" x14ac:dyDescent="0.3">
      <c r="A5" s="1" t="s">
        <v>17</v>
      </c>
      <c r="B5" s="1" t="s">
        <v>8</v>
      </c>
      <c r="C5" s="1">
        <v>4</v>
      </c>
      <c r="D5" s="1">
        <v>155</v>
      </c>
      <c r="E5" s="1" t="s">
        <v>18</v>
      </c>
      <c r="F5" s="1" t="s">
        <v>19</v>
      </c>
      <c r="G5" s="1">
        <v>620</v>
      </c>
    </row>
    <row r="6" spans="1:15" ht="14.4" x14ac:dyDescent="0.3">
      <c r="A6" s="1" t="s">
        <v>20</v>
      </c>
      <c r="B6" s="1" t="s">
        <v>21</v>
      </c>
      <c r="C6" s="1">
        <v>3</v>
      </c>
      <c r="D6" s="1">
        <v>256</v>
      </c>
      <c r="E6" s="1" t="s">
        <v>18</v>
      </c>
      <c r="F6" s="1" t="s">
        <v>19</v>
      </c>
      <c r="G6" s="1">
        <v>768</v>
      </c>
    </row>
    <row r="7" spans="1:15" ht="14.4" x14ac:dyDescent="0.3">
      <c r="A7" s="1" t="s">
        <v>22</v>
      </c>
      <c r="B7" s="1" t="s">
        <v>23</v>
      </c>
      <c r="C7" s="1">
        <v>7</v>
      </c>
      <c r="D7" s="1">
        <v>338</v>
      </c>
      <c r="E7" s="1" t="s">
        <v>24</v>
      </c>
      <c r="F7" s="1" t="s">
        <v>13</v>
      </c>
      <c r="G7" s="1">
        <v>2366</v>
      </c>
    </row>
    <row r="8" spans="1:15" ht="14.4" x14ac:dyDescent="0.3">
      <c r="A8" s="1" t="s">
        <v>25</v>
      </c>
      <c r="B8" s="1" t="s">
        <v>26</v>
      </c>
      <c r="C8" s="1">
        <v>2</v>
      </c>
      <c r="D8" s="1">
        <v>208</v>
      </c>
      <c r="E8" s="1" t="s">
        <v>9</v>
      </c>
      <c r="F8" s="1" t="s">
        <v>27</v>
      </c>
      <c r="G8" s="1">
        <v>416</v>
      </c>
    </row>
    <row r="9" spans="1:15" ht="14.4" x14ac:dyDescent="0.3">
      <c r="A9" s="1" t="s">
        <v>28</v>
      </c>
      <c r="B9" s="1" t="s">
        <v>12</v>
      </c>
      <c r="C9" s="1">
        <v>5</v>
      </c>
      <c r="D9" s="1">
        <v>128</v>
      </c>
      <c r="E9" s="1" t="s">
        <v>18</v>
      </c>
      <c r="F9" s="1" t="s">
        <v>29</v>
      </c>
      <c r="G9" s="1">
        <v>640</v>
      </c>
    </row>
    <row r="10" spans="1:15" ht="15.6" x14ac:dyDescent="0.3">
      <c r="A10" s="1" t="s">
        <v>30</v>
      </c>
      <c r="B10" s="1" t="s">
        <v>31</v>
      </c>
      <c r="C10" s="1">
        <v>9</v>
      </c>
      <c r="D10" s="1">
        <v>315</v>
      </c>
      <c r="E10" s="1" t="s">
        <v>9</v>
      </c>
      <c r="F10" s="1" t="s">
        <v>32</v>
      </c>
      <c r="G10" s="1">
        <v>2835</v>
      </c>
      <c r="M10" s="2" t="s">
        <v>77</v>
      </c>
      <c r="N10">
        <f>SUM(G:G)</f>
        <v>68265</v>
      </c>
    </row>
    <row r="11" spans="1:15" ht="15.6" x14ac:dyDescent="0.3">
      <c r="A11" s="1" t="s">
        <v>33</v>
      </c>
      <c r="B11" s="1" t="s">
        <v>12</v>
      </c>
      <c r="C11" s="1">
        <v>7</v>
      </c>
      <c r="D11" s="1">
        <v>341</v>
      </c>
      <c r="E11" s="1" t="s">
        <v>24</v>
      </c>
      <c r="F11" s="1" t="s">
        <v>34</v>
      </c>
      <c r="G11" s="1">
        <v>2387</v>
      </c>
      <c r="M11" s="2" t="s">
        <v>78</v>
      </c>
      <c r="N11">
        <f>MAX(G:G)</f>
        <v>4600</v>
      </c>
    </row>
    <row r="12" spans="1:15" ht="15.6" x14ac:dyDescent="0.3">
      <c r="A12" s="1" t="s">
        <v>35</v>
      </c>
      <c r="B12" s="1" t="s">
        <v>21</v>
      </c>
      <c r="C12" s="1">
        <v>7</v>
      </c>
      <c r="D12" s="1">
        <v>416</v>
      </c>
      <c r="E12" s="1" t="s">
        <v>9</v>
      </c>
      <c r="F12" s="1" t="s">
        <v>32</v>
      </c>
      <c r="G12" s="1">
        <v>2912</v>
      </c>
      <c r="M12" s="2" t="s">
        <v>79</v>
      </c>
      <c r="N12">
        <f>MIN(G:G)</f>
        <v>192</v>
      </c>
    </row>
    <row r="13" spans="1:15" ht="15.6" x14ac:dyDescent="0.3">
      <c r="A13" s="1" t="s">
        <v>36</v>
      </c>
      <c r="B13" s="1" t="s">
        <v>12</v>
      </c>
      <c r="C13" s="1">
        <v>10</v>
      </c>
      <c r="D13" s="1">
        <v>177</v>
      </c>
      <c r="E13" s="1" t="s">
        <v>24</v>
      </c>
      <c r="F13" s="1" t="s">
        <v>32</v>
      </c>
      <c r="G13" s="1">
        <v>1770</v>
      </c>
      <c r="M13" s="2" t="s">
        <v>80</v>
      </c>
      <c r="N13">
        <f>AVERAGE(G:G)</f>
        <v>1365.3</v>
      </c>
    </row>
    <row r="14" spans="1:15" ht="15.6" x14ac:dyDescent="0.3">
      <c r="A14" s="1" t="s">
        <v>37</v>
      </c>
      <c r="B14" s="1" t="s">
        <v>26</v>
      </c>
      <c r="C14" s="1">
        <v>5</v>
      </c>
      <c r="D14" s="1">
        <v>109</v>
      </c>
      <c r="E14" s="1" t="s">
        <v>24</v>
      </c>
      <c r="F14" s="1" t="s">
        <v>10</v>
      </c>
      <c r="G14" s="1">
        <v>545</v>
      </c>
      <c r="M14" s="6" t="s">
        <v>81</v>
      </c>
      <c r="N14" s="7">
        <f>COUNTA(A2:A51)</f>
        <v>50</v>
      </c>
      <c r="O14" s="5" t="s">
        <v>86</v>
      </c>
    </row>
    <row r="15" spans="1:15" ht="15.6" x14ac:dyDescent="0.3">
      <c r="A15" s="1" t="s">
        <v>38</v>
      </c>
      <c r="B15" s="1" t="s">
        <v>31</v>
      </c>
      <c r="C15" s="1">
        <v>4</v>
      </c>
      <c r="D15" s="1">
        <v>104</v>
      </c>
      <c r="E15" s="1" t="s">
        <v>16</v>
      </c>
      <c r="F15" s="1" t="s">
        <v>34</v>
      </c>
      <c r="G15" s="1">
        <v>416</v>
      </c>
      <c r="M15" s="2" t="s">
        <v>82</v>
      </c>
      <c r="N15">
        <f>COUNTA(F2:F51)</f>
        <v>50</v>
      </c>
    </row>
    <row r="16" spans="1:15" ht="15.6" x14ac:dyDescent="0.3">
      <c r="A16" s="1" t="s">
        <v>39</v>
      </c>
      <c r="B16" s="1" t="s">
        <v>21</v>
      </c>
      <c r="C16" s="1">
        <v>7</v>
      </c>
      <c r="D16" s="1">
        <v>69</v>
      </c>
      <c r="E16" s="1" t="s">
        <v>9</v>
      </c>
      <c r="F16" s="1" t="s">
        <v>19</v>
      </c>
      <c r="G16" s="1">
        <v>483</v>
      </c>
      <c r="M16" s="2" t="s">
        <v>83</v>
      </c>
      <c r="N16">
        <f>COUNTBLANK(E:E)</f>
        <v>1048525</v>
      </c>
    </row>
    <row r="17" spans="1:7" ht="14.4" x14ac:dyDescent="0.3">
      <c r="A17" s="1" t="s">
        <v>40</v>
      </c>
      <c r="B17" s="1" t="s">
        <v>41</v>
      </c>
      <c r="C17" s="1">
        <v>7</v>
      </c>
      <c r="D17" s="1">
        <v>89</v>
      </c>
      <c r="E17" s="1" t="s">
        <v>16</v>
      </c>
      <c r="F17" s="1" t="s">
        <v>42</v>
      </c>
      <c r="G17" s="1">
        <v>623</v>
      </c>
    </row>
    <row r="18" spans="1:7" ht="14.4" x14ac:dyDescent="0.3">
      <c r="A18" s="1" t="s">
        <v>43</v>
      </c>
      <c r="B18" s="1" t="s">
        <v>21</v>
      </c>
      <c r="C18" s="1">
        <v>4</v>
      </c>
      <c r="D18" s="1">
        <v>407</v>
      </c>
      <c r="E18" s="1" t="s">
        <v>9</v>
      </c>
      <c r="F18" s="1" t="s">
        <v>27</v>
      </c>
      <c r="G18" s="1">
        <v>1628</v>
      </c>
    </row>
    <row r="19" spans="1:7" ht="14.4" x14ac:dyDescent="0.3">
      <c r="A19" s="1" t="s">
        <v>44</v>
      </c>
      <c r="B19" s="1" t="s">
        <v>21</v>
      </c>
      <c r="C19" s="1">
        <v>4</v>
      </c>
      <c r="D19" s="1">
        <v>309</v>
      </c>
      <c r="E19" s="1" t="s">
        <v>24</v>
      </c>
      <c r="F19" s="1" t="s">
        <v>32</v>
      </c>
      <c r="G19" s="1">
        <v>1236</v>
      </c>
    </row>
    <row r="20" spans="1:7" ht="14.4" x14ac:dyDescent="0.3">
      <c r="A20" s="1" t="s">
        <v>45</v>
      </c>
      <c r="B20" s="1" t="s">
        <v>12</v>
      </c>
      <c r="C20" s="1">
        <v>10</v>
      </c>
      <c r="D20" s="1">
        <v>460</v>
      </c>
      <c r="E20" s="1" t="s">
        <v>16</v>
      </c>
      <c r="F20" s="1" t="s">
        <v>29</v>
      </c>
      <c r="G20" s="1">
        <v>4600</v>
      </c>
    </row>
    <row r="21" spans="1:7" ht="15.75" customHeight="1" x14ac:dyDescent="0.3">
      <c r="A21" s="1" t="s">
        <v>46</v>
      </c>
      <c r="B21" s="1" t="s">
        <v>23</v>
      </c>
      <c r="C21" s="1">
        <v>9</v>
      </c>
      <c r="D21" s="1">
        <v>295</v>
      </c>
      <c r="E21" s="1" t="s">
        <v>9</v>
      </c>
      <c r="F21" s="1" t="s">
        <v>27</v>
      </c>
      <c r="G21" s="1">
        <v>2655</v>
      </c>
    </row>
    <row r="22" spans="1:7" ht="15.75" customHeight="1" x14ac:dyDescent="0.3">
      <c r="A22" s="1" t="s">
        <v>47</v>
      </c>
      <c r="B22" s="1" t="s">
        <v>31</v>
      </c>
      <c r="C22" s="1">
        <v>4</v>
      </c>
      <c r="D22" s="1">
        <v>280</v>
      </c>
      <c r="E22" s="1" t="s">
        <v>18</v>
      </c>
      <c r="F22" s="1" t="s">
        <v>27</v>
      </c>
      <c r="G22" s="1">
        <v>1120</v>
      </c>
    </row>
    <row r="23" spans="1:7" ht="15.75" customHeight="1" x14ac:dyDescent="0.3">
      <c r="A23" s="1" t="s">
        <v>48</v>
      </c>
      <c r="B23" s="1" t="s">
        <v>41</v>
      </c>
      <c r="C23" s="1">
        <v>10</v>
      </c>
      <c r="D23" s="1">
        <v>245</v>
      </c>
      <c r="E23" s="1" t="s">
        <v>24</v>
      </c>
      <c r="F23" s="1" t="s">
        <v>29</v>
      </c>
      <c r="G23" s="1">
        <v>2450</v>
      </c>
    </row>
    <row r="24" spans="1:7" ht="15.75" customHeight="1" x14ac:dyDescent="0.3">
      <c r="A24" s="1" t="s">
        <v>49</v>
      </c>
      <c r="B24" s="1" t="s">
        <v>26</v>
      </c>
      <c r="C24" s="1">
        <v>4</v>
      </c>
      <c r="D24" s="1">
        <v>331</v>
      </c>
      <c r="E24" s="1" t="s">
        <v>16</v>
      </c>
      <c r="F24" s="1" t="s">
        <v>10</v>
      </c>
      <c r="G24" s="1">
        <v>1324</v>
      </c>
    </row>
    <row r="25" spans="1:7" ht="15.75" customHeight="1" x14ac:dyDescent="0.3">
      <c r="A25" s="1" t="s">
        <v>50</v>
      </c>
      <c r="B25" s="1" t="s">
        <v>12</v>
      </c>
      <c r="C25" s="1">
        <v>1</v>
      </c>
      <c r="D25" s="1">
        <v>459</v>
      </c>
      <c r="E25" s="1" t="s">
        <v>9</v>
      </c>
      <c r="F25" s="1" t="s">
        <v>34</v>
      </c>
      <c r="G25" s="1">
        <v>459</v>
      </c>
    </row>
    <row r="26" spans="1:7" ht="15.75" customHeight="1" x14ac:dyDescent="0.3">
      <c r="A26" s="1" t="s">
        <v>51</v>
      </c>
      <c r="B26" s="1" t="s">
        <v>8</v>
      </c>
      <c r="C26" s="1">
        <v>5</v>
      </c>
      <c r="D26" s="1">
        <v>258</v>
      </c>
      <c r="E26" s="1" t="s">
        <v>24</v>
      </c>
      <c r="F26" s="1" t="s">
        <v>27</v>
      </c>
      <c r="G26" s="1">
        <v>1290</v>
      </c>
    </row>
    <row r="27" spans="1:7" ht="15.75" customHeight="1" x14ac:dyDescent="0.3">
      <c r="A27" s="1" t="s">
        <v>52</v>
      </c>
      <c r="B27" s="1" t="s">
        <v>26</v>
      </c>
      <c r="C27" s="1">
        <v>3</v>
      </c>
      <c r="D27" s="1">
        <v>195</v>
      </c>
      <c r="E27" s="1" t="s">
        <v>24</v>
      </c>
      <c r="F27" s="1" t="s">
        <v>42</v>
      </c>
      <c r="G27" s="1">
        <v>585</v>
      </c>
    </row>
    <row r="28" spans="1:7" ht="15.75" customHeight="1" x14ac:dyDescent="0.3">
      <c r="A28" s="1" t="s">
        <v>53</v>
      </c>
      <c r="B28" s="1" t="s">
        <v>41</v>
      </c>
      <c r="C28" s="1">
        <v>4</v>
      </c>
      <c r="D28" s="1">
        <v>332</v>
      </c>
      <c r="E28" s="1" t="s">
        <v>9</v>
      </c>
      <c r="F28" s="1" t="s">
        <v>27</v>
      </c>
      <c r="G28" s="1">
        <v>1328</v>
      </c>
    </row>
    <row r="29" spans="1:7" ht="15.75" customHeight="1" x14ac:dyDescent="0.3">
      <c r="A29" s="1" t="s">
        <v>54</v>
      </c>
      <c r="B29" s="1" t="s">
        <v>23</v>
      </c>
      <c r="C29" s="1">
        <v>1</v>
      </c>
      <c r="D29" s="1">
        <v>192</v>
      </c>
      <c r="E29" s="1" t="s">
        <v>24</v>
      </c>
      <c r="F29" s="1" t="s">
        <v>42</v>
      </c>
      <c r="G29" s="1">
        <v>192</v>
      </c>
    </row>
    <row r="30" spans="1:7" ht="15.75" customHeight="1" x14ac:dyDescent="0.3">
      <c r="A30" s="1" t="s">
        <v>55</v>
      </c>
      <c r="B30" s="1" t="s">
        <v>15</v>
      </c>
      <c r="C30" s="1">
        <v>8</v>
      </c>
      <c r="D30" s="1">
        <v>432</v>
      </c>
      <c r="E30" s="1" t="s">
        <v>24</v>
      </c>
      <c r="F30" s="1" t="s">
        <v>42</v>
      </c>
      <c r="G30" s="1">
        <v>3456</v>
      </c>
    </row>
    <row r="31" spans="1:7" ht="15.75" customHeight="1" x14ac:dyDescent="0.3">
      <c r="A31" s="1" t="s">
        <v>56</v>
      </c>
      <c r="B31" s="1" t="s">
        <v>8</v>
      </c>
      <c r="C31" s="1">
        <v>7</v>
      </c>
      <c r="D31" s="1">
        <v>465</v>
      </c>
      <c r="E31" s="1" t="s">
        <v>18</v>
      </c>
      <c r="F31" s="1" t="s">
        <v>34</v>
      </c>
      <c r="G31" s="1">
        <v>3255</v>
      </c>
    </row>
    <row r="32" spans="1:7" ht="15.75" customHeight="1" x14ac:dyDescent="0.3">
      <c r="A32" s="1" t="s">
        <v>57</v>
      </c>
      <c r="B32" s="1" t="s">
        <v>41</v>
      </c>
      <c r="C32" s="1">
        <v>6</v>
      </c>
      <c r="D32" s="1">
        <v>358</v>
      </c>
      <c r="E32" s="1" t="s">
        <v>16</v>
      </c>
      <c r="F32" s="1" t="s">
        <v>32</v>
      </c>
      <c r="G32" s="1">
        <v>2148</v>
      </c>
    </row>
    <row r="33" spans="1:7" ht="15.75" customHeight="1" x14ac:dyDescent="0.3">
      <c r="A33" s="1" t="s">
        <v>58</v>
      </c>
      <c r="B33" s="1" t="s">
        <v>23</v>
      </c>
      <c r="C33" s="1">
        <v>2</v>
      </c>
      <c r="D33" s="1">
        <v>157</v>
      </c>
      <c r="E33" s="1" t="s">
        <v>16</v>
      </c>
      <c r="F33" s="1" t="s">
        <v>42</v>
      </c>
      <c r="G33" s="1">
        <v>314</v>
      </c>
    </row>
    <row r="34" spans="1:7" ht="15.75" customHeight="1" x14ac:dyDescent="0.3">
      <c r="A34" s="1" t="s">
        <v>59</v>
      </c>
      <c r="B34" s="1" t="s">
        <v>21</v>
      </c>
      <c r="C34" s="1">
        <v>1</v>
      </c>
      <c r="D34" s="1">
        <v>321</v>
      </c>
      <c r="E34" s="1" t="s">
        <v>16</v>
      </c>
      <c r="F34" s="1" t="s">
        <v>13</v>
      </c>
      <c r="G34" s="1">
        <v>321</v>
      </c>
    </row>
    <row r="35" spans="1:7" ht="15.75" customHeight="1" x14ac:dyDescent="0.3">
      <c r="A35" s="1" t="s">
        <v>60</v>
      </c>
      <c r="B35" s="1" t="s">
        <v>31</v>
      </c>
      <c r="C35" s="1">
        <v>8</v>
      </c>
      <c r="D35" s="1">
        <v>419</v>
      </c>
      <c r="E35" s="1" t="s">
        <v>24</v>
      </c>
      <c r="F35" s="1" t="s">
        <v>42</v>
      </c>
      <c r="G35" s="1">
        <v>3352</v>
      </c>
    </row>
    <row r="36" spans="1:7" ht="15.75" customHeight="1" x14ac:dyDescent="0.3">
      <c r="A36" s="1" t="s">
        <v>61</v>
      </c>
      <c r="B36" s="1" t="s">
        <v>12</v>
      </c>
      <c r="C36" s="1">
        <v>9</v>
      </c>
      <c r="D36" s="1">
        <v>243</v>
      </c>
      <c r="E36" s="1" t="s">
        <v>16</v>
      </c>
      <c r="F36" s="1" t="s">
        <v>29</v>
      </c>
      <c r="G36" s="1">
        <v>2187</v>
      </c>
    </row>
    <row r="37" spans="1:7" ht="15.75" customHeight="1" x14ac:dyDescent="0.3">
      <c r="A37" s="1" t="s">
        <v>62</v>
      </c>
      <c r="B37" s="1" t="s">
        <v>21</v>
      </c>
      <c r="C37" s="1">
        <v>1</v>
      </c>
      <c r="D37" s="1">
        <v>436</v>
      </c>
      <c r="E37" s="1" t="s">
        <v>16</v>
      </c>
      <c r="F37" s="1" t="s">
        <v>19</v>
      </c>
      <c r="G37" s="1">
        <v>436</v>
      </c>
    </row>
    <row r="38" spans="1:7" ht="15.75" customHeight="1" x14ac:dyDescent="0.3">
      <c r="A38" s="1" t="s">
        <v>63</v>
      </c>
      <c r="B38" s="1" t="s">
        <v>23</v>
      </c>
      <c r="C38" s="1">
        <v>8</v>
      </c>
      <c r="D38" s="1">
        <v>315</v>
      </c>
      <c r="E38" s="1" t="s">
        <v>9</v>
      </c>
      <c r="F38" s="1" t="s">
        <v>13</v>
      </c>
      <c r="G38" s="1">
        <v>2520</v>
      </c>
    </row>
    <row r="39" spans="1:7" ht="15.75" customHeight="1" x14ac:dyDescent="0.3">
      <c r="A39" s="1" t="s">
        <v>64</v>
      </c>
      <c r="B39" s="1" t="s">
        <v>8</v>
      </c>
      <c r="C39" s="1">
        <v>10</v>
      </c>
      <c r="D39" s="1">
        <v>323</v>
      </c>
      <c r="E39" s="1" t="s">
        <v>18</v>
      </c>
      <c r="F39" s="1" t="s">
        <v>29</v>
      </c>
      <c r="G39" s="1">
        <v>3230</v>
      </c>
    </row>
    <row r="40" spans="1:7" ht="15.75" customHeight="1" x14ac:dyDescent="0.3">
      <c r="A40" s="1" t="s">
        <v>65</v>
      </c>
      <c r="B40" s="1" t="s">
        <v>21</v>
      </c>
      <c r="C40" s="1">
        <v>4</v>
      </c>
      <c r="D40" s="1">
        <v>77</v>
      </c>
      <c r="E40" s="1" t="s">
        <v>16</v>
      </c>
      <c r="F40" s="1" t="s">
        <v>42</v>
      </c>
      <c r="G40" s="1">
        <v>308</v>
      </c>
    </row>
    <row r="41" spans="1:7" ht="15.75" customHeight="1" x14ac:dyDescent="0.3">
      <c r="A41" s="1" t="s">
        <v>66</v>
      </c>
      <c r="B41" s="1" t="s">
        <v>23</v>
      </c>
      <c r="C41" s="1">
        <v>2</v>
      </c>
      <c r="D41" s="1">
        <v>143</v>
      </c>
      <c r="E41" s="1" t="s">
        <v>16</v>
      </c>
      <c r="F41" s="1" t="s">
        <v>34</v>
      </c>
      <c r="G41" s="1">
        <v>286</v>
      </c>
    </row>
    <row r="42" spans="1:7" ht="15.75" customHeight="1" x14ac:dyDescent="0.3">
      <c r="A42" s="1" t="s">
        <v>67</v>
      </c>
      <c r="B42" s="1" t="s">
        <v>15</v>
      </c>
      <c r="C42" s="1">
        <v>9</v>
      </c>
      <c r="D42" s="1">
        <v>180</v>
      </c>
      <c r="E42" s="1" t="s">
        <v>16</v>
      </c>
      <c r="F42" s="1" t="s">
        <v>32</v>
      </c>
      <c r="G42" s="1">
        <v>1620</v>
      </c>
    </row>
    <row r="43" spans="1:7" ht="15.75" customHeight="1" x14ac:dyDescent="0.3">
      <c r="A43" s="1" t="s">
        <v>68</v>
      </c>
      <c r="B43" s="1" t="s">
        <v>41</v>
      </c>
      <c r="C43" s="1">
        <v>8</v>
      </c>
      <c r="D43" s="1">
        <v>117</v>
      </c>
      <c r="E43" s="1" t="s">
        <v>16</v>
      </c>
      <c r="F43" s="1" t="s">
        <v>32</v>
      </c>
      <c r="G43" s="1">
        <v>936</v>
      </c>
    </row>
    <row r="44" spans="1:7" ht="15.75" customHeight="1" x14ac:dyDescent="0.3">
      <c r="A44" s="1" t="s">
        <v>69</v>
      </c>
      <c r="B44" s="1" t="s">
        <v>41</v>
      </c>
      <c r="C44" s="1">
        <v>6</v>
      </c>
      <c r="D44" s="1">
        <v>69</v>
      </c>
      <c r="E44" s="1" t="s">
        <v>9</v>
      </c>
      <c r="F44" s="1" t="s">
        <v>34</v>
      </c>
      <c r="G44" s="1">
        <v>414</v>
      </c>
    </row>
    <row r="45" spans="1:7" ht="15.75" customHeight="1" x14ac:dyDescent="0.3">
      <c r="A45" s="1" t="s">
        <v>70</v>
      </c>
      <c r="B45" s="1" t="s">
        <v>26</v>
      </c>
      <c r="C45" s="1">
        <v>2</v>
      </c>
      <c r="D45" s="1">
        <v>237</v>
      </c>
      <c r="E45" s="1" t="s">
        <v>24</v>
      </c>
      <c r="F45" s="1" t="s">
        <v>29</v>
      </c>
      <c r="G45" s="1">
        <v>474</v>
      </c>
    </row>
    <row r="46" spans="1:7" ht="15.75" customHeight="1" x14ac:dyDescent="0.3">
      <c r="A46" s="1" t="s">
        <v>71</v>
      </c>
      <c r="B46" s="1" t="s">
        <v>26</v>
      </c>
      <c r="C46" s="1">
        <v>2</v>
      </c>
      <c r="D46" s="1">
        <v>476</v>
      </c>
      <c r="E46" s="1" t="s">
        <v>16</v>
      </c>
      <c r="F46" s="1" t="s">
        <v>10</v>
      </c>
      <c r="G46" s="1">
        <v>952</v>
      </c>
    </row>
    <row r="47" spans="1:7" ht="15.75" customHeight="1" x14ac:dyDescent="0.3">
      <c r="A47" s="1" t="s">
        <v>72</v>
      </c>
      <c r="B47" s="1" t="s">
        <v>21</v>
      </c>
      <c r="C47" s="1">
        <v>5</v>
      </c>
      <c r="D47" s="1">
        <v>63</v>
      </c>
      <c r="E47" s="1" t="s">
        <v>9</v>
      </c>
      <c r="F47" s="1" t="s">
        <v>29</v>
      </c>
      <c r="G47" s="1">
        <v>315</v>
      </c>
    </row>
    <row r="48" spans="1:7" ht="15.75" customHeight="1" x14ac:dyDescent="0.3">
      <c r="A48" s="1" t="s">
        <v>73</v>
      </c>
      <c r="B48" s="1" t="s">
        <v>31</v>
      </c>
      <c r="C48" s="1">
        <v>5</v>
      </c>
      <c r="D48" s="1">
        <v>61</v>
      </c>
      <c r="E48" s="1" t="s">
        <v>9</v>
      </c>
      <c r="F48" s="1" t="s">
        <v>29</v>
      </c>
      <c r="G48" s="1">
        <v>305</v>
      </c>
    </row>
    <row r="49" spans="1:7" ht="15.75" customHeight="1" x14ac:dyDescent="0.3">
      <c r="A49" s="1" t="s">
        <v>74</v>
      </c>
      <c r="B49" s="1" t="s">
        <v>31</v>
      </c>
      <c r="C49" s="1">
        <v>7</v>
      </c>
      <c r="D49" s="1">
        <v>341</v>
      </c>
      <c r="E49" s="1" t="s">
        <v>9</v>
      </c>
      <c r="F49" s="1" t="s">
        <v>34</v>
      </c>
      <c r="G49" s="1">
        <v>2387</v>
      </c>
    </row>
    <row r="50" spans="1:7" ht="15.75" customHeight="1" x14ac:dyDescent="0.3">
      <c r="A50" s="1" t="s">
        <v>75</v>
      </c>
      <c r="B50" s="1" t="s">
        <v>12</v>
      </c>
      <c r="C50" s="1">
        <v>9</v>
      </c>
      <c r="D50" s="1">
        <v>190</v>
      </c>
      <c r="E50" s="1" t="s">
        <v>24</v>
      </c>
      <c r="F50" s="1" t="s">
        <v>42</v>
      </c>
      <c r="G50" s="1">
        <v>1710</v>
      </c>
    </row>
    <row r="51" spans="1:7" ht="15.75" customHeight="1" x14ac:dyDescent="0.3">
      <c r="A51" s="1" t="s">
        <v>76</v>
      </c>
      <c r="B51" s="1" t="s">
        <v>41</v>
      </c>
      <c r="C51" s="1">
        <v>2</v>
      </c>
      <c r="D51" s="1">
        <v>358</v>
      </c>
      <c r="E51" s="1" t="s">
        <v>18</v>
      </c>
      <c r="F51" s="1" t="s">
        <v>27</v>
      </c>
      <c r="G51" s="1">
        <v>716</v>
      </c>
    </row>
    <row r="52" spans="1:7" ht="15.75" customHeight="1" x14ac:dyDescent="0.3"/>
    <row r="53" spans="1:7" ht="15.75" customHeight="1" x14ac:dyDescent="0.3"/>
    <row r="54" spans="1:7" ht="15.75" customHeight="1" x14ac:dyDescent="0.3"/>
    <row r="55" spans="1:7" ht="15.75" customHeight="1" x14ac:dyDescent="0.3"/>
    <row r="56" spans="1:7" ht="15.75" customHeight="1" x14ac:dyDescent="0.3"/>
    <row r="57" spans="1:7" ht="15.75" customHeight="1" x14ac:dyDescent="0.3"/>
    <row r="58" spans="1:7" ht="15.75" customHeight="1" x14ac:dyDescent="0.3"/>
    <row r="59" spans="1:7" ht="15.75" customHeight="1" x14ac:dyDescent="0.3"/>
    <row r="60" spans="1:7" ht="15.75" customHeight="1" x14ac:dyDescent="0.3"/>
    <row r="61" spans="1:7" ht="15.75" customHeight="1" x14ac:dyDescent="0.3"/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5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618A-07AE-4134-BE5D-859D75385C5D}">
  <sheetPr filterMode="1"/>
  <dimension ref="A1:N1000"/>
  <sheetViews>
    <sheetView tabSelected="1" workbookViewId="0">
      <selection activeCell="B70" sqref="B70"/>
    </sheetView>
  </sheetViews>
  <sheetFormatPr defaultColWidth="14.44140625" defaultRowHeight="14.4" x14ac:dyDescent="0.3"/>
  <cols>
    <col min="1" max="1" width="7.6640625" customWidth="1"/>
    <col min="2" max="5" width="8.6640625" customWidth="1"/>
    <col min="6" max="6" width="11" bestFit="1" customWidth="1"/>
    <col min="7" max="7" width="9.44140625" bestFit="1" customWidth="1"/>
    <col min="8" max="11" width="8.6640625" customWidth="1"/>
    <col min="12" max="12" width="75.109375" bestFit="1" customWidth="1"/>
    <col min="13" max="13" width="25.109375" bestFit="1" customWidth="1"/>
    <col min="14" max="26" width="8.664062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4" hidden="1" x14ac:dyDescent="0.3">
      <c r="A2" s="1" t="s">
        <v>7</v>
      </c>
      <c r="B2" s="1" t="s">
        <v>8</v>
      </c>
      <c r="C2" s="1">
        <v>3</v>
      </c>
      <c r="D2" s="1">
        <v>86</v>
      </c>
      <c r="E2" s="1" t="s">
        <v>9</v>
      </c>
      <c r="F2" s="1" t="s">
        <v>10</v>
      </c>
      <c r="G2" s="1">
        <v>258</v>
      </c>
    </row>
    <row r="3" spans="1:14" hidden="1" x14ac:dyDescent="0.3">
      <c r="A3" s="1" t="s">
        <v>11</v>
      </c>
      <c r="B3" s="1" t="s">
        <v>12</v>
      </c>
      <c r="C3" s="1">
        <v>1</v>
      </c>
      <c r="D3" s="1">
        <v>269</v>
      </c>
      <c r="E3" s="1" t="s">
        <v>9</v>
      </c>
      <c r="F3" s="1" t="s">
        <v>13</v>
      </c>
      <c r="G3" s="1">
        <v>269</v>
      </c>
    </row>
    <row r="4" spans="1:14" hidden="1" x14ac:dyDescent="0.3">
      <c r="A4" s="1" t="s">
        <v>14</v>
      </c>
      <c r="B4" s="1" t="s">
        <v>15</v>
      </c>
      <c r="C4" s="1">
        <v>1</v>
      </c>
      <c r="D4" s="1">
        <v>448</v>
      </c>
      <c r="E4" s="1" t="s">
        <v>16</v>
      </c>
      <c r="F4" s="1" t="s">
        <v>13</v>
      </c>
      <c r="G4" s="1">
        <v>448</v>
      </c>
    </row>
    <row r="5" spans="1:14" hidden="1" x14ac:dyDescent="0.3">
      <c r="A5" s="1" t="s">
        <v>17</v>
      </c>
      <c r="B5" s="1" t="s">
        <v>8</v>
      </c>
      <c r="C5" s="1">
        <v>4</v>
      </c>
      <c r="D5" s="1">
        <v>155</v>
      </c>
      <c r="E5" s="1" t="s">
        <v>18</v>
      </c>
      <c r="F5" s="1" t="s">
        <v>19</v>
      </c>
      <c r="G5" s="1">
        <v>620</v>
      </c>
    </row>
    <row r="6" spans="1:14" hidden="1" x14ac:dyDescent="0.3">
      <c r="A6" s="1" t="s">
        <v>20</v>
      </c>
      <c r="B6" s="1" t="s">
        <v>21</v>
      </c>
      <c r="C6" s="1">
        <v>3</v>
      </c>
      <c r="D6" s="1">
        <v>256</v>
      </c>
      <c r="E6" s="1" t="s">
        <v>18</v>
      </c>
      <c r="F6" s="1" t="s">
        <v>19</v>
      </c>
      <c r="G6" s="1">
        <v>768</v>
      </c>
    </row>
    <row r="7" spans="1:14" x14ac:dyDescent="0.3">
      <c r="A7" s="1" t="s">
        <v>22</v>
      </c>
      <c r="B7" s="1" t="s">
        <v>23</v>
      </c>
      <c r="C7" s="1">
        <v>7</v>
      </c>
      <c r="D7" s="1">
        <v>338</v>
      </c>
      <c r="E7" s="1" t="s">
        <v>24</v>
      </c>
      <c r="F7" s="1" t="s">
        <v>13</v>
      </c>
      <c r="G7" s="1">
        <v>2366</v>
      </c>
    </row>
    <row r="8" spans="1:14" hidden="1" x14ac:dyDescent="0.3">
      <c r="A8" s="1" t="s">
        <v>25</v>
      </c>
      <c r="B8" s="1" t="s">
        <v>26</v>
      </c>
      <c r="C8" s="1">
        <v>2</v>
      </c>
      <c r="D8" s="1">
        <v>208</v>
      </c>
      <c r="E8" s="1" t="s">
        <v>9</v>
      </c>
      <c r="F8" s="1" t="s">
        <v>27</v>
      </c>
      <c r="G8" s="1">
        <v>416</v>
      </c>
    </row>
    <row r="9" spans="1:14" hidden="1" x14ac:dyDescent="0.3">
      <c r="A9" s="1" t="s">
        <v>28</v>
      </c>
      <c r="B9" s="1" t="s">
        <v>12</v>
      </c>
      <c r="C9" s="1">
        <v>5</v>
      </c>
      <c r="D9" s="1">
        <v>128</v>
      </c>
      <c r="E9" s="1" t="s">
        <v>18</v>
      </c>
      <c r="F9" s="1" t="s">
        <v>29</v>
      </c>
      <c r="G9" s="1">
        <v>640</v>
      </c>
    </row>
    <row r="10" spans="1:14" ht="15.6" hidden="1" x14ac:dyDescent="0.3">
      <c r="A10" s="1" t="s">
        <v>30</v>
      </c>
      <c r="B10" s="1" t="s">
        <v>31</v>
      </c>
      <c r="C10" s="1">
        <v>9</v>
      </c>
      <c r="D10" s="1">
        <v>315</v>
      </c>
      <c r="E10" s="1" t="s">
        <v>9</v>
      </c>
      <c r="F10" s="1" t="s">
        <v>32</v>
      </c>
      <c r="G10" s="1">
        <v>2835</v>
      </c>
      <c r="M10" s="2" t="s">
        <v>77</v>
      </c>
      <c r="N10">
        <f>SUM(G:G)</f>
        <v>68265</v>
      </c>
    </row>
    <row r="11" spans="1:14" ht="15.6" hidden="1" x14ac:dyDescent="0.3">
      <c r="A11" s="1" t="s">
        <v>33</v>
      </c>
      <c r="B11" s="1" t="s">
        <v>12</v>
      </c>
      <c r="C11" s="1">
        <v>7</v>
      </c>
      <c r="D11" s="1">
        <v>341</v>
      </c>
      <c r="E11" s="1" t="s">
        <v>24</v>
      </c>
      <c r="F11" s="1" t="s">
        <v>34</v>
      </c>
      <c r="G11" s="1">
        <v>2387</v>
      </c>
      <c r="M11" s="2" t="s">
        <v>78</v>
      </c>
      <c r="N11">
        <f>MAX(G:G)</f>
        <v>4600</v>
      </c>
    </row>
    <row r="12" spans="1:14" ht="15.6" hidden="1" x14ac:dyDescent="0.3">
      <c r="A12" s="1" t="s">
        <v>35</v>
      </c>
      <c r="B12" s="1" t="s">
        <v>21</v>
      </c>
      <c r="C12" s="1">
        <v>7</v>
      </c>
      <c r="D12" s="1">
        <v>416</v>
      </c>
      <c r="E12" s="1" t="s">
        <v>9</v>
      </c>
      <c r="F12" s="1" t="s">
        <v>32</v>
      </c>
      <c r="G12" s="1">
        <v>2912</v>
      </c>
      <c r="M12" s="2" t="s">
        <v>79</v>
      </c>
      <c r="N12">
        <f>MIN(G:G)</f>
        <v>192</v>
      </c>
    </row>
    <row r="13" spans="1:14" ht="15.6" hidden="1" x14ac:dyDescent="0.3">
      <c r="A13" s="1" t="s">
        <v>36</v>
      </c>
      <c r="B13" s="1" t="s">
        <v>12</v>
      </c>
      <c r="C13" s="1">
        <v>10</v>
      </c>
      <c r="D13" s="1">
        <v>177</v>
      </c>
      <c r="E13" s="1" t="s">
        <v>24</v>
      </c>
      <c r="F13" s="1" t="s">
        <v>32</v>
      </c>
      <c r="G13" s="1">
        <v>1770</v>
      </c>
      <c r="M13" s="2" t="s">
        <v>80</v>
      </c>
      <c r="N13">
        <f>AVERAGE(G:G)</f>
        <v>1365.3</v>
      </c>
    </row>
    <row r="14" spans="1:14" ht="15.6" hidden="1" x14ac:dyDescent="0.3">
      <c r="A14" s="1" t="s">
        <v>37</v>
      </c>
      <c r="B14" s="1" t="s">
        <v>26</v>
      </c>
      <c r="C14" s="1">
        <v>5</v>
      </c>
      <c r="D14" s="1">
        <v>109</v>
      </c>
      <c r="E14" s="1" t="s">
        <v>24</v>
      </c>
      <c r="F14" s="1" t="s">
        <v>10</v>
      </c>
      <c r="G14" s="1">
        <v>545</v>
      </c>
      <c r="M14" s="2" t="s">
        <v>81</v>
      </c>
      <c r="N14">
        <f>COUNTA(A2:A51)</f>
        <v>50</v>
      </c>
    </row>
    <row r="15" spans="1:14" ht="15.6" hidden="1" x14ac:dyDescent="0.3">
      <c r="A15" s="1" t="s">
        <v>38</v>
      </c>
      <c r="B15" s="1" t="s">
        <v>31</v>
      </c>
      <c r="C15" s="1">
        <v>4</v>
      </c>
      <c r="D15" s="1">
        <v>104</v>
      </c>
      <c r="E15" s="1" t="s">
        <v>16</v>
      </c>
      <c r="F15" s="1" t="s">
        <v>34</v>
      </c>
      <c r="G15" s="1">
        <v>416</v>
      </c>
      <c r="M15" s="2" t="s">
        <v>82</v>
      </c>
      <c r="N15">
        <f>COUNTA(F2:F51)</f>
        <v>50</v>
      </c>
    </row>
    <row r="16" spans="1:14" ht="15.6" hidden="1" x14ac:dyDescent="0.3">
      <c r="A16" s="1" t="s">
        <v>39</v>
      </c>
      <c r="B16" s="1" t="s">
        <v>21</v>
      </c>
      <c r="C16" s="1">
        <v>7</v>
      </c>
      <c r="D16" s="1">
        <v>69</v>
      </c>
      <c r="E16" s="1" t="s">
        <v>9</v>
      </c>
      <c r="F16" s="1" t="s">
        <v>19</v>
      </c>
      <c r="G16" s="1">
        <v>483</v>
      </c>
      <c r="M16" s="2" t="s">
        <v>83</v>
      </c>
      <c r="N16">
        <f>COUNTBLANK(E:E)</f>
        <v>1048525</v>
      </c>
    </row>
    <row r="17" spans="1:7" hidden="1" x14ac:dyDescent="0.3">
      <c r="A17" s="1" t="s">
        <v>40</v>
      </c>
      <c r="B17" s="1" t="s">
        <v>41</v>
      </c>
      <c r="C17" s="1">
        <v>7</v>
      </c>
      <c r="D17" s="1">
        <v>89</v>
      </c>
      <c r="E17" s="1" t="s">
        <v>16</v>
      </c>
      <c r="F17" s="1" t="s">
        <v>42</v>
      </c>
      <c r="G17" s="1">
        <v>623</v>
      </c>
    </row>
    <row r="18" spans="1:7" hidden="1" x14ac:dyDescent="0.3">
      <c r="A18" s="1" t="s">
        <v>43</v>
      </c>
      <c r="B18" s="1" t="s">
        <v>21</v>
      </c>
      <c r="C18" s="1">
        <v>4</v>
      </c>
      <c r="D18" s="1">
        <v>407</v>
      </c>
      <c r="E18" s="1" t="s">
        <v>9</v>
      </c>
      <c r="F18" s="1" t="s">
        <v>27</v>
      </c>
      <c r="G18" s="1">
        <v>1628</v>
      </c>
    </row>
    <row r="19" spans="1:7" hidden="1" x14ac:dyDescent="0.3">
      <c r="A19" s="1" t="s">
        <v>44</v>
      </c>
      <c r="B19" s="1" t="s">
        <v>21</v>
      </c>
      <c r="C19" s="1">
        <v>4</v>
      </c>
      <c r="D19" s="1">
        <v>309</v>
      </c>
      <c r="E19" s="1" t="s">
        <v>24</v>
      </c>
      <c r="F19" s="1" t="s">
        <v>32</v>
      </c>
      <c r="G19" s="1">
        <v>1236</v>
      </c>
    </row>
    <row r="20" spans="1:7" hidden="1" x14ac:dyDescent="0.3">
      <c r="A20" s="1" t="s">
        <v>45</v>
      </c>
      <c r="B20" s="1" t="s">
        <v>12</v>
      </c>
      <c r="C20" s="1">
        <v>10</v>
      </c>
      <c r="D20" s="1">
        <v>460</v>
      </c>
      <c r="E20" s="1" t="s">
        <v>16</v>
      </c>
      <c r="F20" s="1" t="s">
        <v>29</v>
      </c>
      <c r="G20" s="1">
        <v>4600</v>
      </c>
    </row>
    <row r="21" spans="1:7" ht="15.75" customHeight="1" x14ac:dyDescent="0.3">
      <c r="A21" s="1" t="s">
        <v>46</v>
      </c>
      <c r="B21" s="1" t="s">
        <v>23</v>
      </c>
      <c r="C21" s="1">
        <v>9</v>
      </c>
      <c r="D21" s="1">
        <v>295</v>
      </c>
      <c r="E21" s="1" t="s">
        <v>9</v>
      </c>
      <c r="F21" s="1" t="s">
        <v>27</v>
      </c>
      <c r="G21" s="1">
        <v>2655</v>
      </c>
    </row>
    <row r="22" spans="1:7" ht="15.75" hidden="1" customHeight="1" x14ac:dyDescent="0.3">
      <c r="A22" s="1" t="s">
        <v>47</v>
      </c>
      <c r="B22" s="1" t="s">
        <v>31</v>
      </c>
      <c r="C22" s="1">
        <v>4</v>
      </c>
      <c r="D22" s="1">
        <v>280</v>
      </c>
      <c r="E22" s="1" t="s">
        <v>18</v>
      </c>
      <c r="F22" s="1" t="s">
        <v>27</v>
      </c>
      <c r="G22" s="1">
        <v>1120</v>
      </c>
    </row>
    <row r="23" spans="1:7" ht="15.75" hidden="1" customHeight="1" x14ac:dyDescent="0.3">
      <c r="A23" s="1" t="s">
        <v>48</v>
      </c>
      <c r="B23" s="1" t="s">
        <v>41</v>
      </c>
      <c r="C23" s="1">
        <v>10</v>
      </c>
      <c r="D23" s="1">
        <v>245</v>
      </c>
      <c r="E23" s="1" t="s">
        <v>24</v>
      </c>
      <c r="F23" s="1" t="s">
        <v>29</v>
      </c>
      <c r="G23" s="1">
        <v>2450</v>
      </c>
    </row>
    <row r="24" spans="1:7" ht="15.75" hidden="1" customHeight="1" x14ac:dyDescent="0.3">
      <c r="A24" s="1" t="s">
        <v>49</v>
      </c>
      <c r="B24" s="1" t="s">
        <v>26</v>
      </c>
      <c r="C24" s="1">
        <v>4</v>
      </c>
      <c r="D24" s="1">
        <v>331</v>
      </c>
      <c r="E24" s="1" t="s">
        <v>16</v>
      </c>
      <c r="F24" s="1" t="s">
        <v>10</v>
      </c>
      <c r="G24" s="1">
        <v>1324</v>
      </c>
    </row>
    <row r="25" spans="1:7" ht="15.75" hidden="1" customHeight="1" x14ac:dyDescent="0.3">
      <c r="A25" s="1" t="s">
        <v>50</v>
      </c>
      <c r="B25" s="1" t="s">
        <v>12</v>
      </c>
      <c r="C25" s="1">
        <v>1</v>
      </c>
      <c r="D25" s="1">
        <v>459</v>
      </c>
      <c r="E25" s="1" t="s">
        <v>9</v>
      </c>
      <c r="F25" s="1" t="s">
        <v>34</v>
      </c>
      <c r="G25" s="1">
        <v>459</v>
      </c>
    </row>
    <row r="26" spans="1:7" ht="15.75" hidden="1" customHeight="1" x14ac:dyDescent="0.3">
      <c r="A26" s="1" t="s">
        <v>51</v>
      </c>
      <c r="B26" s="1" t="s">
        <v>8</v>
      </c>
      <c r="C26" s="1">
        <v>5</v>
      </c>
      <c r="D26" s="1">
        <v>258</v>
      </c>
      <c r="E26" s="1" t="s">
        <v>24</v>
      </c>
      <c r="F26" s="1" t="s">
        <v>27</v>
      </c>
      <c r="G26" s="1">
        <v>1290</v>
      </c>
    </row>
    <row r="27" spans="1:7" ht="15.75" hidden="1" customHeight="1" x14ac:dyDescent="0.3">
      <c r="A27" s="1" t="s">
        <v>52</v>
      </c>
      <c r="B27" s="1" t="s">
        <v>26</v>
      </c>
      <c r="C27" s="1">
        <v>3</v>
      </c>
      <c r="D27" s="1">
        <v>195</v>
      </c>
      <c r="E27" s="1" t="s">
        <v>24</v>
      </c>
      <c r="F27" s="1" t="s">
        <v>42</v>
      </c>
      <c r="G27" s="1">
        <v>585</v>
      </c>
    </row>
    <row r="28" spans="1:7" ht="15.75" hidden="1" customHeight="1" x14ac:dyDescent="0.3">
      <c r="A28" s="1" t="s">
        <v>53</v>
      </c>
      <c r="B28" s="1" t="s">
        <v>41</v>
      </c>
      <c r="C28" s="1">
        <v>4</v>
      </c>
      <c r="D28" s="1">
        <v>332</v>
      </c>
      <c r="E28" s="1" t="s">
        <v>9</v>
      </c>
      <c r="F28" s="1" t="s">
        <v>27</v>
      </c>
      <c r="G28" s="1">
        <v>1328</v>
      </c>
    </row>
    <row r="29" spans="1:7" ht="15.75" customHeight="1" x14ac:dyDescent="0.3">
      <c r="A29" s="1" t="s">
        <v>54</v>
      </c>
      <c r="B29" s="1" t="s">
        <v>23</v>
      </c>
      <c r="C29" s="1">
        <v>1</v>
      </c>
      <c r="D29" s="1">
        <v>192</v>
      </c>
      <c r="E29" s="1" t="s">
        <v>24</v>
      </c>
      <c r="F29" s="1" t="s">
        <v>42</v>
      </c>
      <c r="G29" s="1">
        <v>192</v>
      </c>
    </row>
    <row r="30" spans="1:7" ht="15.75" hidden="1" customHeight="1" x14ac:dyDescent="0.3">
      <c r="A30" s="1" t="s">
        <v>55</v>
      </c>
      <c r="B30" s="1" t="s">
        <v>15</v>
      </c>
      <c r="C30" s="1">
        <v>8</v>
      </c>
      <c r="D30" s="1">
        <v>432</v>
      </c>
      <c r="E30" s="1" t="s">
        <v>24</v>
      </c>
      <c r="F30" s="1" t="s">
        <v>42</v>
      </c>
      <c r="G30" s="1">
        <v>3456</v>
      </c>
    </row>
    <row r="31" spans="1:7" ht="15.75" hidden="1" customHeight="1" x14ac:dyDescent="0.3">
      <c r="A31" s="1" t="s">
        <v>56</v>
      </c>
      <c r="B31" s="1" t="s">
        <v>8</v>
      </c>
      <c r="C31" s="1">
        <v>7</v>
      </c>
      <c r="D31" s="1">
        <v>465</v>
      </c>
      <c r="E31" s="1" t="s">
        <v>18</v>
      </c>
      <c r="F31" s="1" t="s">
        <v>34</v>
      </c>
      <c r="G31" s="1">
        <v>3255</v>
      </c>
    </row>
    <row r="32" spans="1:7" ht="15.75" hidden="1" customHeight="1" x14ac:dyDescent="0.3">
      <c r="A32" s="1" t="s">
        <v>57</v>
      </c>
      <c r="B32" s="1" t="s">
        <v>41</v>
      </c>
      <c r="C32" s="1">
        <v>6</v>
      </c>
      <c r="D32" s="1">
        <v>358</v>
      </c>
      <c r="E32" s="1" t="s">
        <v>16</v>
      </c>
      <c r="F32" s="1" t="s">
        <v>32</v>
      </c>
      <c r="G32" s="1">
        <v>2148</v>
      </c>
    </row>
    <row r="33" spans="1:7" ht="15.75" customHeight="1" x14ac:dyDescent="0.3">
      <c r="A33" s="1" t="s">
        <v>58</v>
      </c>
      <c r="B33" s="1" t="s">
        <v>23</v>
      </c>
      <c r="C33" s="1">
        <v>2</v>
      </c>
      <c r="D33" s="1">
        <v>157</v>
      </c>
      <c r="E33" s="1" t="s">
        <v>16</v>
      </c>
      <c r="F33" s="1" t="s">
        <v>42</v>
      </c>
      <c r="G33" s="1">
        <v>314</v>
      </c>
    </row>
    <row r="34" spans="1:7" ht="15.75" hidden="1" customHeight="1" x14ac:dyDescent="0.3">
      <c r="A34" s="1" t="s">
        <v>59</v>
      </c>
      <c r="B34" s="1" t="s">
        <v>21</v>
      </c>
      <c r="C34" s="1">
        <v>1</v>
      </c>
      <c r="D34" s="1">
        <v>321</v>
      </c>
      <c r="E34" s="1" t="s">
        <v>16</v>
      </c>
      <c r="F34" s="1" t="s">
        <v>13</v>
      </c>
      <c r="G34" s="1">
        <v>321</v>
      </c>
    </row>
    <row r="35" spans="1:7" ht="15.75" hidden="1" customHeight="1" x14ac:dyDescent="0.3">
      <c r="A35" s="1" t="s">
        <v>60</v>
      </c>
      <c r="B35" s="1" t="s">
        <v>31</v>
      </c>
      <c r="C35" s="1">
        <v>8</v>
      </c>
      <c r="D35" s="1">
        <v>419</v>
      </c>
      <c r="E35" s="1" t="s">
        <v>24</v>
      </c>
      <c r="F35" s="1" t="s">
        <v>42</v>
      </c>
      <c r="G35" s="1">
        <v>3352</v>
      </c>
    </row>
    <row r="36" spans="1:7" ht="15.75" hidden="1" customHeight="1" x14ac:dyDescent="0.3">
      <c r="A36" s="1" t="s">
        <v>61</v>
      </c>
      <c r="B36" s="1" t="s">
        <v>12</v>
      </c>
      <c r="C36" s="1">
        <v>9</v>
      </c>
      <c r="D36" s="1">
        <v>243</v>
      </c>
      <c r="E36" s="1" t="s">
        <v>16</v>
      </c>
      <c r="F36" s="1" t="s">
        <v>29</v>
      </c>
      <c r="G36" s="1">
        <v>2187</v>
      </c>
    </row>
    <row r="37" spans="1:7" ht="15.75" hidden="1" customHeight="1" x14ac:dyDescent="0.3">
      <c r="A37" s="1" t="s">
        <v>62</v>
      </c>
      <c r="B37" s="1" t="s">
        <v>21</v>
      </c>
      <c r="C37" s="1">
        <v>1</v>
      </c>
      <c r="D37" s="1">
        <v>436</v>
      </c>
      <c r="E37" s="1" t="s">
        <v>16</v>
      </c>
      <c r="F37" s="1" t="s">
        <v>19</v>
      </c>
      <c r="G37" s="1">
        <v>436</v>
      </c>
    </row>
    <row r="38" spans="1:7" ht="15.75" customHeight="1" x14ac:dyDescent="0.3">
      <c r="A38" s="1" t="s">
        <v>63</v>
      </c>
      <c r="B38" s="1" t="s">
        <v>23</v>
      </c>
      <c r="C38" s="1">
        <v>8</v>
      </c>
      <c r="D38" s="1">
        <v>315</v>
      </c>
      <c r="E38" s="1" t="s">
        <v>9</v>
      </c>
      <c r="F38" s="1" t="s">
        <v>13</v>
      </c>
      <c r="G38" s="1">
        <v>2520</v>
      </c>
    </row>
    <row r="39" spans="1:7" ht="15.75" hidden="1" customHeight="1" x14ac:dyDescent="0.3">
      <c r="A39" s="1" t="s">
        <v>64</v>
      </c>
      <c r="B39" s="1" t="s">
        <v>8</v>
      </c>
      <c r="C39" s="1">
        <v>10</v>
      </c>
      <c r="D39" s="1">
        <v>323</v>
      </c>
      <c r="E39" s="1" t="s">
        <v>18</v>
      </c>
      <c r="F39" s="1" t="s">
        <v>29</v>
      </c>
      <c r="G39" s="1">
        <v>3230</v>
      </c>
    </row>
    <row r="40" spans="1:7" ht="15.75" hidden="1" customHeight="1" x14ac:dyDescent="0.3">
      <c r="A40" s="1" t="s">
        <v>65</v>
      </c>
      <c r="B40" s="1" t="s">
        <v>21</v>
      </c>
      <c r="C40" s="1">
        <v>4</v>
      </c>
      <c r="D40" s="1">
        <v>77</v>
      </c>
      <c r="E40" s="1" t="s">
        <v>16</v>
      </c>
      <c r="F40" s="1" t="s">
        <v>42</v>
      </c>
      <c r="G40" s="1">
        <v>308</v>
      </c>
    </row>
    <row r="41" spans="1:7" ht="15.75" customHeight="1" x14ac:dyDescent="0.3">
      <c r="A41" s="1" t="s">
        <v>66</v>
      </c>
      <c r="B41" s="1" t="s">
        <v>23</v>
      </c>
      <c r="C41" s="1">
        <v>2</v>
      </c>
      <c r="D41" s="1">
        <v>143</v>
      </c>
      <c r="E41" s="1" t="s">
        <v>16</v>
      </c>
      <c r="F41" s="1" t="s">
        <v>34</v>
      </c>
      <c r="G41" s="1">
        <v>286</v>
      </c>
    </row>
    <row r="42" spans="1:7" ht="15.75" hidden="1" customHeight="1" x14ac:dyDescent="0.3">
      <c r="A42" s="1" t="s">
        <v>67</v>
      </c>
      <c r="B42" s="1" t="s">
        <v>15</v>
      </c>
      <c r="C42" s="1">
        <v>9</v>
      </c>
      <c r="D42" s="1">
        <v>180</v>
      </c>
      <c r="E42" s="1" t="s">
        <v>16</v>
      </c>
      <c r="F42" s="1" t="s">
        <v>32</v>
      </c>
      <c r="G42" s="1">
        <v>1620</v>
      </c>
    </row>
    <row r="43" spans="1:7" ht="15.75" hidden="1" customHeight="1" x14ac:dyDescent="0.3">
      <c r="A43" s="1" t="s">
        <v>68</v>
      </c>
      <c r="B43" s="1" t="s">
        <v>41</v>
      </c>
      <c r="C43" s="1">
        <v>8</v>
      </c>
      <c r="D43" s="1">
        <v>117</v>
      </c>
      <c r="E43" s="1" t="s">
        <v>16</v>
      </c>
      <c r="F43" s="1" t="s">
        <v>32</v>
      </c>
      <c r="G43" s="1">
        <v>936</v>
      </c>
    </row>
    <row r="44" spans="1:7" ht="15.75" hidden="1" customHeight="1" x14ac:dyDescent="0.3">
      <c r="A44" s="1" t="s">
        <v>69</v>
      </c>
      <c r="B44" s="1" t="s">
        <v>41</v>
      </c>
      <c r="C44" s="1">
        <v>6</v>
      </c>
      <c r="D44" s="1">
        <v>69</v>
      </c>
      <c r="E44" s="1" t="s">
        <v>9</v>
      </c>
      <c r="F44" s="1" t="s">
        <v>34</v>
      </c>
      <c r="G44" s="1">
        <v>414</v>
      </c>
    </row>
    <row r="45" spans="1:7" ht="15.75" hidden="1" customHeight="1" x14ac:dyDescent="0.3">
      <c r="A45" s="1" t="s">
        <v>70</v>
      </c>
      <c r="B45" s="1" t="s">
        <v>26</v>
      </c>
      <c r="C45" s="1">
        <v>2</v>
      </c>
      <c r="D45" s="1">
        <v>237</v>
      </c>
      <c r="E45" s="1" t="s">
        <v>24</v>
      </c>
      <c r="F45" s="1" t="s">
        <v>29</v>
      </c>
      <c r="G45" s="1">
        <v>474</v>
      </c>
    </row>
    <row r="46" spans="1:7" ht="15.75" hidden="1" customHeight="1" x14ac:dyDescent="0.3">
      <c r="A46" s="1" t="s">
        <v>71</v>
      </c>
      <c r="B46" s="1" t="s">
        <v>26</v>
      </c>
      <c r="C46" s="1">
        <v>2</v>
      </c>
      <c r="D46" s="1">
        <v>476</v>
      </c>
      <c r="E46" s="1" t="s">
        <v>16</v>
      </c>
      <c r="F46" s="1" t="s">
        <v>10</v>
      </c>
      <c r="G46" s="1">
        <v>952</v>
      </c>
    </row>
    <row r="47" spans="1:7" ht="15.75" hidden="1" customHeight="1" x14ac:dyDescent="0.3">
      <c r="A47" s="1" t="s">
        <v>72</v>
      </c>
      <c r="B47" s="1" t="s">
        <v>21</v>
      </c>
      <c r="C47" s="1">
        <v>5</v>
      </c>
      <c r="D47" s="1">
        <v>63</v>
      </c>
      <c r="E47" s="1" t="s">
        <v>9</v>
      </c>
      <c r="F47" s="1" t="s">
        <v>29</v>
      </c>
      <c r="G47" s="1">
        <v>315</v>
      </c>
    </row>
    <row r="48" spans="1:7" ht="15.75" hidden="1" customHeight="1" x14ac:dyDescent="0.3">
      <c r="A48" s="1" t="s">
        <v>73</v>
      </c>
      <c r="B48" s="1" t="s">
        <v>31</v>
      </c>
      <c r="C48" s="1">
        <v>5</v>
      </c>
      <c r="D48" s="1">
        <v>61</v>
      </c>
      <c r="E48" s="1" t="s">
        <v>9</v>
      </c>
      <c r="F48" s="1" t="s">
        <v>29</v>
      </c>
      <c r="G48" s="1">
        <v>305</v>
      </c>
    </row>
    <row r="49" spans="1:12" ht="15.75" hidden="1" customHeight="1" x14ac:dyDescent="0.3">
      <c r="A49" s="1" t="s">
        <v>74</v>
      </c>
      <c r="B49" s="1" t="s">
        <v>31</v>
      </c>
      <c r="C49" s="1">
        <v>7</v>
      </c>
      <c r="D49" s="1">
        <v>341</v>
      </c>
      <c r="E49" s="1" t="s">
        <v>9</v>
      </c>
      <c r="F49" s="1" t="s">
        <v>34</v>
      </c>
      <c r="G49" s="1">
        <v>2387</v>
      </c>
    </row>
    <row r="50" spans="1:12" ht="15.75" hidden="1" customHeight="1" x14ac:dyDescent="0.3">
      <c r="A50" s="1" t="s">
        <v>75</v>
      </c>
      <c r="B50" s="1" t="s">
        <v>12</v>
      </c>
      <c r="C50" s="1">
        <v>9</v>
      </c>
      <c r="D50" s="1">
        <v>190</v>
      </c>
      <c r="E50" s="1" t="s">
        <v>24</v>
      </c>
      <c r="F50" s="1" t="s">
        <v>42</v>
      </c>
      <c r="G50" s="1">
        <v>1710</v>
      </c>
    </row>
    <row r="51" spans="1:12" ht="15.75" hidden="1" customHeight="1" x14ac:dyDescent="0.3">
      <c r="A51" s="1" t="s">
        <v>76</v>
      </c>
      <c r="B51" s="1" t="s">
        <v>41</v>
      </c>
      <c r="C51" s="1">
        <v>2</v>
      </c>
      <c r="D51" s="1">
        <v>358</v>
      </c>
      <c r="E51" s="1" t="s">
        <v>18</v>
      </c>
      <c r="F51" s="1" t="s">
        <v>27</v>
      </c>
      <c r="G51" s="1">
        <v>716</v>
      </c>
    </row>
    <row r="52" spans="1:12" ht="15.75" customHeight="1" x14ac:dyDescent="0.3"/>
    <row r="53" spans="1:12" ht="15.75" customHeight="1" x14ac:dyDescent="0.3"/>
    <row r="54" spans="1:12" ht="15.75" customHeight="1" x14ac:dyDescent="0.3"/>
    <row r="55" spans="1:12" ht="15.75" customHeight="1" x14ac:dyDescent="0.3">
      <c r="L55" s="2" t="s">
        <v>84</v>
      </c>
    </row>
    <row r="56" spans="1:12" ht="15.75" customHeight="1" x14ac:dyDescent="0.3">
      <c r="L56" s="2" t="s">
        <v>85</v>
      </c>
    </row>
    <row r="57" spans="1:12" ht="15.75" customHeight="1" x14ac:dyDescent="0.3"/>
    <row r="58" spans="1:12" ht="15.75" customHeight="1" x14ac:dyDescent="0.3"/>
    <row r="59" spans="1:12" ht="15.75" customHeight="1" x14ac:dyDescent="0.3"/>
    <row r="60" spans="1:12" ht="15.75" customHeight="1" x14ac:dyDescent="0.3"/>
    <row r="61" spans="1:12" ht="15.75" customHeight="1" x14ac:dyDescent="0.3"/>
    <row r="62" spans="1:12" ht="15.75" customHeight="1" x14ac:dyDescent="0.3"/>
    <row r="63" spans="1:12" ht="15.75" customHeight="1" x14ac:dyDescent="0.3"/>
    <row r="64" spans="1:1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51" xr:uid="{0FF0618A-07AE-4134-BE5D-859D75385C5D}">
    <filterColumn colId="1">
      <filters>
        <filter val="Sof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Atef</cp:lastModifiedBy>
  <dcterms:modified xsi:type="dcterms:W3CDTF">2026-02-03T13:22:24Z</dcterms:modified>
</cp:coreProperties>
</file>